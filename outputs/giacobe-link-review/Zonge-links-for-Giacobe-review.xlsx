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5f42a2d68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0210b181126f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yyyy"/>
  </x:numFmts>
  <x:fonts count="10">
    <x:font>
      <x:sz val="11"/>
      <x:name val="Carlito"/>
    </x:font>
    <x:font>
      <x:sz val="10"/>
      <x:color rgb="FF25333A"/>
      <x:name val="Arial"/>
    </x:font>
    <x:font>
      <x:b/>
      <x:sz val="15"/>
      <x:color rgb="FFA64B18"/>
      <x:name val="Arial"/>
    </x:font>
    <x:font>
      <x:i/>
      <x:sz val="10"/>
      <x:color rgb="FF526873"/>
      <x:name val="Arial"/>
    </x:font>
    <x:font>
      <x:b/>
      <x:sz val="10"/>
      <x:color rgb="FFFFFFFF"/>
      <x:name val="Arial"/>
    </x:font>
    <x:font>
      <x:b/>
      <x:sz val="10"/>
      <x:color rgb="FF344A53"/>
      <x:name val="Arial"/>
    </x:font>
    <x:font>
      <x:b/>
      <x:sz val="12"/>
      <x:color rgb="FFA64B18"/>
      <x:name val="Arial"/>
    </x:font>
    <x:font>
      <x:b/>
      <x:sz val="10"/>
      <x:color rgb="FF5B4A00"/>
      <x:name val="Arial"/>
    </x:font>
    <x:font>
      <x:sz val="9"/>
      <x:color rgb="FF0563C1"/>
      <x:name val="Arial"/>
    </x:font>
    <x:font>
      <x:i/>
      <x:sz val="9"/>
      <x:color rgb="FF52687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7F8"/>
      </x:patternFill>
    </x:fill>
    <x:fill>
      <x:patternFill patternType="solid">
        <x:fgColor rgb="FF17262C"/>
      </x:patternFill>
    </x:fill>
    <x:fill>
      <x:patternFill patternType="solid">
        <x:fgColor rgb="FFE7ECEF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64B1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medium">
        <x:color rgb="FF9FB0B7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horizontal="center" vertical="top"/>
    </x:xf>
    <x:xf numFmtId="200" fontId="1" fillId="3" borderId="0" xfId="0" applyNumberFormat="1" applyFont="1" applyFill="1" applyBorder="1" applyAlignment="1">
      <x:alignment horizontal="center" vertical="top"/>
    </x:xf>
    <x:xf numFmtId="0" fontId="8" fillId="2" borderId="0" xfId="0" applyNumberFormat="1" applyFont="1" applyFill="1" applyBorder="1"/>
    <x:xf numFmtId="0" fontId="8" fillId="3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3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horizontal="left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horizontal="center" vertical="top"/>
    </x:xf>
    <x:xf numFmtId="0" fontId="8" fillId="3" borderId="5" xfId="0" applyNumberFormat="1" applyFont="1" applyFill="1" applyBorder="1" applyAlignment="1">
      <x:alignment horizontal="left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5" fillId="2" borderId="5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top" wrapText="1"/>
    </x:xf>
    <x:xf numFmtId="200" fontId="1" fillId="2" borderId="5" xfId="0" applyNumberFormat="1" applyFont="1" applyFill="1" applyBorder="1" applyAlignment="1">
      <x:alignment horizontal="center" vertical="top"/>
    </x:xf>
    <x:xf numFmtId="0" fontId="8" fillId="2" borderId="5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b2ee8b52e4e4e" /><Relationship Type="http://schemas.openxmlformats.org/officeDocument/2006/relationships/theme" Target="/xl/theme/theme1.xml" Id="R5f00346bd7b54bc0" /><Relationship Type="http://schemas.openxmlformats.org/officeDocument/2006/relationships/sharedStrings" Target="/xl/sharedStrings.xml" Id="R7b6e48bd3827492b" /><Relationship Type="http://schemas.openxmlformats.org/officeDocument/2006/relationships/worksheet" Target="/xl/worksheets/sheet1.xml" Id="R0210b181126f4db7" /></Relationships>
</file>

<file path=xl/tables/table1.xml><?xml version="1.0" encoding="utf-8"?>
<x:table xmlns:x="http://schemas.openxmlformats.org/spreadsheetml/2006/main" id="1" name="GiacobeLinkReview" displayName="GiacobeLinkReview" ref="A7:H41" headerRowCount="1" totalsRowCount="0" totalsRowShown="0">
  <x:tableColumns count="8">
    <x:tableColumn id="1" name="Decision"/>
    <x:tableColumn id="2" name="Recommendation"/>
    <x:tableColumn id="3" name="Website page"/>
    <x:tableColumn id="4" name="Suggested website text"/>
    <x:tableColumn id="5" name="Source"/>
    <x:tableColumn id="6" name="Date"/>
    <x:tableColumn id="7" name="Why / question"/>
    <x:tableColumn id="8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d70d321d634c7c" /></Relationships>
</file>

<file path=xl/worksheets/sheet1.xml><?xml version="1.0" encoding="utf-8"?>
<x:worksheet xmlns:x="http://schemas.openxmlformats.org/spreadsheetml/2006/main">
  <x:sheetPr>
    <x:tabColor rgb="FFA64B18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0" hidden="0" customWidth="1"/>
    <x:col min="4" max="4" width="45" hidden="0" customWidth="1"/>
    <x:col min="5" max="5" width="31" hidden="0" customWidth="1"/>
    <x:col min="6" max="6" width="12" hidden="0" customWidth="1"/>
    <x:col min="7" max="7" width="44" hidden="0" customWidth="1"/>
    <x:col min="8" max="8" width="32" hidden="0" customWidth="1"/>
  </x:cols>
  <x:sheetData>
    <x:row r="2" ht="26" customHeight="1">
      <x:c r="A2" s="6" t="str">
        <x:v>Zonge website links — Giacobe review</x:v>
      </x:c>
      <x:c r="B2" s="2"/>
      <x:c r="C2" s="2"/>
      <x:c r="D2" s="2"/>
      <x:c r="E2" s="2"/>
      <x:c r="F2" s="2"/>
      <x:c r="G2" s="2"/>
      <x:c r="H2" s="2"/>
    </x:row>
    <x:row r="3" ht="22" customHeight="1">
      <x:c r="A3" s="7" t="str">
        <x:v>Review the yellow Decision cells only. The original research workbook remains unchanged.</x:v>
      </x:c>
      <x:c r="B3" s="3"/>
      <x:c r="C3" s="3"/>
      <x:c r="D3" s="3"/>
      <x:c r="E3" s="3"/>
      <x:c r="F3" s="3"/>
      <x:c r="G3" s="3"/>
      <x:c r="H3" s="3"/>
    </x:row>
    <x:row r="4" ht="28" customHeight="1">
      <x:c r="A4" s="25" t="str">
        <x:v>Proposed now</x:v>
      </x:c>
      <x:c r="B4" s="28" t="n">
        <x:f>COUNTIF($B$8:$B$41,"Publish now")</x:f>
        <x:v>28</x:v>
      </x:c>
      <x:c r="C4" s="25" t="str">
        <x:v>Needs confirmation</x:v>
      </x:c>
      <x:c r="D4" s="28" t="n">
        <x:f>COUNTIF($B$8:$B$41,"Hold")</x:f>
        <x:v>6</x:v>
      </x:c>
      <x:c r="E4" s="25" t="str">
        <x:v>Your approvals</x:v>
      </x:c>
      <x:c r="F4" s="28" t="n">
        <x:f>COUNTIF($A$8:$A$41,"Approve")</x:f>
        <x:v>0</x:v>
      </x:c>
      <x:c r="G4" s="25" t="str">
        <x:v>Still undecided</x:v>
      </x:c>
      <x:c r="H4" s="28" t="n">
        <x:f>COUNTBLANK($A$8:$A$41)</x:f>
        <x:v>34</x:v>
      </x:c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30" customHeight="1">
      <x:c r="A7" s="19" t="str">
        <x:v>Decision</x:v>
      </x:c>
      <x:c r="B7" s="20" t="str">
        <x:v>Recommendation</x:v>
      </x:c>
      <x:c r="C7" s="20" t="str">
        <x:v>Website page</x:v>
      </x:c>
      <x:c r="D7" s="20" t="str">
        <x:v>Suggested website text</x:v>
      </x:c>
      <x:c r="E7" s="20" t="str">
        <x:v>Source</x:v>
      </x:c>
      <x:c r="F7" s="20" t="str">
        <x:v>Date</x:v>
      </x:c>
      <x:c r="G7" s="20" t="str">
        <x:v>Why / question</x:v>
      </x:c>
      <x:c r="H7" s="21" t="str">
        <x:v>URL</x:v>
      </x:c>
    </x:row>
    <x:row r="8" ht="48" customHeight="1">
      <x:c r="A8" s="32" t="str"/>
      <x:c r="B8" s="35" t="str">
        <x:v>Publish now</x:v>
      </x:c>
      <x:c r="C8" s="39" t="str">
        <x:v>Drone magnetics</x:v>
      </x:c>
      <x:c r="D8" s="43" t="str">
        <x:v>650 line-km drone magnetic survey at Copper Springs, Arizona</x:v>
      </x:c>
      <x:c r="E8" s="43" t="str">
        <x:v>Coyote Copper Mines Inc. news release</x:v>
      </x:c>
      <x:c r="F8" s="49" t="n">
        <x:v>46239.416666666664</x:v>
      </x:c>
      <x:c r="G8" s="43" t="str">
        <x:v>Recent completed work with clear scale and Zonge attribution.</x:v>
      </x:c>
      <x:c r="H8" s="55" t="str">
        <x:v>https://www.newsfilecorp.com/release/307940/Soil-Geochemistry-Confirms-Large-Porphyry-System-at-Copper-Springs-in-the-Arizona-Copper-Triangle-Coyote-Copper-Mines-Expands-Land-Package-by-2000-Acres</x:v>
      </x:c>
    </x:row>
    <x:row r="9" ht="48" customHeight="1">
      <x:c r="A9" s="32" t="str"/>
      <x:c r="B9" s="36" t="str">
        <x:v>Publish now</x:v>
      </x:c>
      <x:c r="C9" s="40" t="str">
        <x:v>Drone magnetics</x:v>
      </x:c>
      <x:c r="D9" s="45" t="str">
        <x:v>325 line-km drone magnetic survey at CK Gold, Wyoming</x:v>
      </x:c>
      <x:c r="E9" s="45" t="str">
        <x:v>U.S. Gold Corp. (Nasdaq: USAU) news release</x:v>
      </x:c>
      <x:c r="F9" s="50" t="n">
        <x:v>46183.416666666664</x:v>
      </x:c>
      <x:c r="G9" s="45" t="str">
        <x:v>Recent completed survey with clear scale and attribution.</x:v>
      </x:c>
      <x:c r="H9" s="56" t="str">
        <x:v>https://www.usgoldcorp.com/news-media/press-releases/detail/250/u-s-gold-corp-advances-exploration-activities-at-its-ck</x:v>
      </x:c>
    </x:row>
    <x:row r="10" ht="48" customHeight="1">
      <x:c r="A10" s="32" t="str"/>
      <x:c r="B10" s="35" t="str">
        <x:v>Publish now</x:v>
      </x:c>
      <x:c r="C10" s="39" t="str">
        <x:v>Drone magnetics</x:v>
      </x:c>
      <x:c r="D10" s="43" t="str">
        <x:v>235.7 line-km drone magnetic survey at Gran Pilar, Sonora</x:v>
      </x:c>
      <x:c r="E10" s="43" t="str">
        <x:v>Tocvan Ventures Corp. news release</x:v>
      </x:c>
      <x:c r="F10" s="49" t="n">
        <x:v>46100.458333333336</x:v>
      </x:c>
      <x:c r="G10" s="43" t="str">
        <x:v>Recent completed survey with clear scale and attribution.</x:v>
      </x:c>
      <x:c r="H10" s="55" t="str">
        <x:v>https://www.juniorminingnetwork.com/junior-miner-news/press-releases/2727-cse/toc/199614-tocvan-drone-magnetic-data-strengthens-gold-silver-targets-across-gran-pilar-identifies-broad-zones-for-expansion-potential.html</x:v>
      </x:c>
    </x:row>
    <x:row r="11" ht="48" customHeight="1">
      <x:c r="A11" s="32" t="str"/>
      <x:c r="B11" s="36" t="str">
        <x:v>Publish now</x:v>
      </x:c>
      <x:c r="C11" s="40" t="str">
        <x:v>Drone magnetics</x:v>
      </x:c>
      <x:c r="D11" s="45" t="str">
        <x:v>Completed drone magnetic survey at Eldorado, Oregon</x:v>
      </x:c>
      <x:c r="E11" s="45" t="str">
        <x:v>Provenance Gold Corp. news release</x:v>
      </x:c>
      <x:c r="F11" s="50" t="n">
        <x:v>45736.458333333336</x:v>
      </x:c>
      <x:c r="G11" s="45" t="str">
        <x:v>Use the completion release instead of the earlier mobilization release.</x:v>
      </x:c>
      <x:c r="H11" s="56" t="str">
        <x:v>https://www.provenancegold.com/20250320-provenance-gold-completes-drone-based-airborne-magnetic-survey-at-the-eldorado-project</x:v>
      </x:c>
    </x:row>
    <x:row r="12" ht="48" customHeight="1">
      <x:c r="A12" s="32" t="str"/>
      <x:c r="B12" s="35" t="str">
        <x:v>Publish now</x:v>
      </x:c>
      <x:c r="C12" s="39" t="str">
        <x:v>Drone magnetics</x:v>
      </x:c>
      <x:c r="D12" s="43" t="str">
        <x:v>658 line-km UAV magnetic survey at Cecilia, Sonora</x:v>
      </x:c>
      <x:c r="E12" s="43" t="str">
        <x:v>Riverside Resources Inc. news release</x:v>
      </x:c>
      <x:c r="F12" s="49" t="n">
        <x:v>45511.416666666664</x:v>
      </x:c>
      <x:c r="G12" s="43" t="str">
        <x:v>Completed acquisition and processing with clear Zonge attribution.</x:v>
      </x:c>
      <x:c r="H12" s="55" t="str">
        <x:v>https://www.newsfilecorp.com/release/219104</x:v>
      </x:c>
    </x:row>
    <x:row r="13" ht="48" customHeight="1">
      <x:c r="A13" s="57" t="str"/>
      <x:c r="B13" s="58" t="str">
        <x:v>Publish now</x:v>
      </x:c>
      <x:c r="C13" s="59" t="str">
        <x:v>CSAMT</x:v>
      </x:c>
      <x:c r="D13" s="60" t="str">
        <x:v>CSAMT results and drill targeting at Stockade Mountain, Oregon</x:v>
      </x:c>
      <x:c r="E13" s="60" t="str">
        <x:v>Austin Gold Corp. news release</x:v>
      </x:c>
      <x:c r="F13" s="61" t="n">
        <x:v>46175.416666666664</x:v>
      </x:c>
      <x:c r="G13" s="60" t="str">
        <x:v>Results-based release that identifies Zonge as the survey contractor.</x:v>
      </x:c>
      <x:c r="H13" s="62" t="str">
        <x:v>https://www.newsfilecorp.com/release/299715/Austin-Gold-Reports-Results-of-CSAMT-Survey-and-Advances-Drill-Targeting-at-Stockade-Mountain</x:v>
      </x:c>
    </x:row>
    <x:row r="14" ht="48" customHeight="1">
      <x:c r="A14" s="32" t="str"/>
      <x:c r="B14" s="35" t="str">
        <x:v>Publish now</x:v>
      </x:c>
      <x:c r="C14" s="39" t="str">
        <x:v>CSAMT</x:v>
      </x:c>
      <x:c r="D14" s="43" t="str">
        <x:v>11.2 line-km CSAMT survey at Bellehelen, Nevada</x:v>
      </x:c>
      <x:c r="E14" s="43" t="str">
        <x:v>Excalibur Metals Corp. news release</x:v>
      </x:c>
      <x:c r="F14" s="49" t="n">
        <x:v>46079.458333333336</x:v>
      </x:c>
      <x:c r="G14" s="43" t="str">
        <x:v>Recent completed survey with useful scale details.</x:v>
      </x:c>
      <x:c r="H14" s="55" t="str">
        <x:v>https://www.newsfilecorp.com/release/285376/Excalibur-Metals-Delineates-Drill-Targets-and-Strengthens-Management-Team</x:v>
      </x:c>
    </x:row>
    <x:row r="15" ht="48" customHeight="1">
      <x:c r="A15" s="32" t="str"/>
      <x:c r="B15" s="36" t="str">
        <x:v>Publish now</x:v>
      </x:c>
      <x:c r="C15" s="40" t="str">
        <x:v>CSAMT</x:v>
      </x:c>
      <x:c r="D15" s="45" t="str">
        <x:v>Property-wide CSAMT and the Silver Sage discovery targets, Alaska</x:v>
      </x:c>
      <x:c r="E15" s="45" t="str">
        <x:v>Alaska Silver Corp. news release</x:v>
      </x:c>
      <x:c r="F15" s="50" t="n">
        <x:v>45964.458333333336</x:v>
      </x:c>
      <x:c r="G15" s="45" t="str">
        <x:v>Completed work connected to a clear exploration result.</x:v>
      </x:c>
      <x:c r="H15" s="56" t="str">
        <x:v>https://www.newsfilecorp.com/release/272869/Alaska-Silver-Announces-New-HighGrade-Discovery-Zone-Silver-Sage</x:v>
      </x:c>
    </x:row>
    <x:row r="16" ht="48" customHeight="1">
      <x:c r="A16" s="32" t="str"/>
      <x:c r="B16" s="35" t="str">
        <x:v>Publish now</x:v>
      </x:c>
      <x:c r="C16" s="39" t="str">
        <x:v>CSAMT</x:v>
      </x:c>
      <x:c r="D16" s="43" t="str">
        <x:v>CSAMT data from the Gooseberry silver project, Nevada</x:v>
      </x:c>
      <x:c r="E16" s="43" t="str">
        <x:v>American Pacific Mining Corp. news release</x:v>
      </x:c>
      <x:c r="F16" s="49" t="n">
        <x:v>44972.458333333336</x:v>
      </x:c>
      <x:c r="G16" s="43" t="str">
        <x:v>Use this results update instead of the earlier commencement release.</x:v>
      </x:c>
      <x:c r="H16" s="55" t="str">
        <x:v>https://www.globenewswire.com/news-release/2023/02/15/2608580/0/en/American-Pacific-Mining-Announces-2023-Drill-Plans-and-Compilation-of-2022-Soil-Geochemistry-and-Integrated-CSAMT-Geophysics-at-its-Gooseberry-Project.html</x:v>
      </x:c>
    </x:row>
    <x:row r="17" ht="48" customHeight="1">
      <x:c r="A17" s="57" t="str"/>
      <x:c r="B17" s="58" t="str">
        <x:v>Publish now</x:v>
      </x:c>
      <x:c r="C17" s="59" t="str">
        <x:v>Gravity</x:v>
      </x:c>
      <x:c r="D17" s="60" t="str">
        <x:v>800-station gravity survey at the Eastside gold project, Nevada</x:v>
      </x:c>
      <x:c r="E17" s="60" t="str">
        <x:v>A2Gold Corp. news release</x:v>
      </x:c>
      <x:c r="F17" s="61" t="n">
        <x:v>45916.416666666664</x:v>
      </x:c>
      <x:c r="G17" s="60" t="str">
        <x:v>The only strong gravity project reference in the current list.</x:v>
      </x:c>
      <x:c r="H17" s="62" t="str">
        <x:v>https://www.juniorminingnetwork.com/junior-miner-news/press-releases/2512-tsx-venture/auau/187370-a2gold-commences-comprehensive-geophysics-program-at-eastside-project.html</x:v>
      </x:c>
    </x:row>
    <x:row r="18" ht="48" customHeight="1">
      <x:c r="A18" s="57" t="str"/>
      <x:c r="B18" s="63" t="str">
        <x:v>Publish now</x:v>
      </x:c>
      <x:c r="C18" s="64" t="str">
        <x:v>Induced polarization</x:v>
      </x:c>
      <x:c r="D18" s="65" t="str">
        <x:v>Drone-assisted IP survey at the Hycroft mine, Nevada</x:v>
      </x:c>
      <x:c r="E18" s="65" t="str">
        <x:v>Hycroft Mining Holding Corp. news release</x:v>
      </x:c>
      <x:c r="F18" s="66" t="n">
        <x:v>45909.416666666664</x:v>
      </x:c>
      <x:c r="G18" s="65" t="str">
        <x:v>Strong client endorsement. Place on IP, because the drone carried the wire rather than magnetic equipment.</x:v>
      </x:c>
      <x:c r="H18" s="67" t="str">
        <x:v>https://www.prnewswire.com/news-releases/hycroft-announces-potential-feeder-identified-in-brimstone-geophysics-302550411.html</x:v>
      </x:c>
    </x:row>
    <x:row r="19" ht="48" customHeight="1">
      <x:c r="A19" s="32" t="str"/>
      <x:c r="B19" s="36" t="str">
        <x:v>Publish now</x:v>
      </x:c>
      <x:c r="C19" s="40" t="str">
        <x:v>Induced polarization</x:v>
      </x:c>
      <x:c r="D19" s="45" t="str">
        <x:v>IP-resistivity anomaly and drill targets at Claudia, Mexico</x:v>
      </x:c>
      <x:c r="E19" s="45" t="str">
        <x:v>Pacifica Silver Corp. news release</x:v>
      </x:c>
      <x:c r="F19" s="50" t="n">
        <x:v>46209.416666666664</x:v>
      </x:c>
      <x:c r="G19" s="45" t="str">
        <x:v>Recent results-based release with a clear Zonge role.</x:v>
      </x:c>
      <x:c r="H19" s="56" t="str">
        <x:v>https://www.juniorminingnetwork.com/junior-miner-news/press-releases/3370-cse/psil/206733-pacifica-silver-s-first-ip-survey-identifies-large-near-surface-chargeability-anomaly-at-claudia-drill-testing-commences-on-new-judy-anomaly.html</x:v>
      </x:c>
    </x:row>
    <x:row r="20" ht="48" customHeight="1">
      <x:c r="A20" s="32" t="str"/>
      <x:c r="B20" s="35" t="str">
        <x:v>Publish now</x:v>
      </x:c>
      <x:c r="C20" s="39" t="str">
        <x:v>Induced polarization</x:v>
      </x:c>
      <x:c r="D20" s="43" t="str">
        <x:v>Property-wide IP and resistivity survey at Hayden Hill, California</x:v>
      </x:c>
      <x:c r="E20" s="43" t="str">
        <x:v>Four Nines Gold Inc. news release</x:v>
      </x:c>
      <x:c r="F20" s="49" t="n">
        <x:v>46203.416666666664</x:v>
      </x:c>
      <x:c r="G20" s="43" t="str">
        <x:v>Strong third-party endorsement and named Zonge instrumentation.</x:v>
      </x:c>
      <x:c r="H20" s="55" t="str">
        <x:v>https://irw-press.com/en/four-nines-gold-advances-toward-maiden-drill-program-with-property-wide-geophysical-survey-at-hayden-hill/</x:v>
      </x:c>
    </x:row>
    <x:row r="21" ht="48" customHeight="1">
      <x:c r="A21" s="32" t="str"/>
      <x:c r="B21" s="36" t="str">
        <x:v>Publish now</x:v>
      </x:c>
      <x:c r="C21" s="40" t="str">
        <x:v>Induced polarization</x:v>
      </x:c>
      <x:c r="D21" s="45" t="str">
        <x:v>Dipole-dipole IP defining drill targets at Gold Run, Nevada</x:v>
      </x:c>
      <x:c r="E21" s="45" t="str">
        <x:v>Lodestar Metals Corp. news release</x:v>
      </x:c>
      <x:c r="F21" s="50" t="n">
        <x:v>46091.458333333336</x:v>
      </x:c>
      <x:c r="G21" s="45" t="str">
        <x:v>Completed survey tied to specific drill targets.</x:v>
      </x:c>
      <x:c r="H21" s="56" t="str">
        <x:v>https://www.juniorminingnetwork.com/junior-miner-news/press-releases/2979-tsx-venture/lstr/198992-lodestar-metals-receives-final-blm-drill-permit-approval-and-defines-new-high-priority-ddip-targets-at-gold-run-nevada.html</x:v>
      </x:c>
    </x:row>
    <x:row r="22" ht="48" customHeight="1">
      <x:c r="A22" s="32" t="str"/>
      <x:c r="B22" s="35" t="str">
        <x:v>Publish now</x:v>
      </x:c>
      <x:c r="C22" s="39" t="str">
        <x:v>Induced polarization</x:v>
      </x:c>
      <x:c r="D22" s="43" t="str">
        <x:v>DC resistivity-IP survey and inversion at the Ivy project, Nevada</x:v>
      </x:c>
      <x:c r="E22" s="43" t="str">
        <x:v>Carlin Gold Corp. news release</x:v>
      </x:c>
      <x:c r="F22" s="49" t="n">
        <x:v>45974.458333333336</x:v>
      </x:c>
      <x:c r="G22" s="43" t="str">
        <x:v>Completed acquisition and inversion with direct attribution.</x:v>
      </x:c>
      <x:c r="H22" s="55" t="str">
        <x:v>https://www.juniorminingnetwork.com/junior-miner-news/press-releases/1699-tsx-venture/cgd/191378-carlin-gold-s-ivy-copper-gold-project-dc-resistivity-ip-survey-targets-identified.html</x:v>
      </x:c>
    </x:row>
    <x:row r="23" ht="48" customHeight="1">
      <x:c r="A23" s="57" t="str"/>
      <x:c r="B23" s="58" t="str">
        <x:v>Publish now</x:v>
      </x:c>
      <x:c r="C23" s="59" t="str">
        <x:v>MT / AMT</x:v>
      </x:c>
      <x:c r="D23" s="60" t="str">
        <x:v>Vector AMT survey and carbonate-replacement targets at Tombstone, Arizona</x:v>
      </x:c>
      <x:c r="E23" s="60" t="str">
        <x:v>Aztec Minerals Corp. news release</x:v>
      </x:c>
      <x:c r="F23" s="61" t="n">
        <x:v>45736.458333333336</x:v>
      </x:c>
      <x:c r="G23" s="60" t="str">
        <x:v>Names a Zonge acquisition and processing report with a job number.</x:v>
      </x:c>
      <x:c r="H23" s="62" t="str">
        <x:v>https://www.juniorminingnetwork.com/junior-miner-news/press-releases/2113-tsx-venture/azt/177079-aztec-identifies-high-priority-carbonate-replacement-targets-crd-at-tombstone-project-arizona.html</x:v>
      </x:c>
    </x:row>
    <x:row r="24" ht="48" customHeight="1">
      <x:c r="A24" s="32" t="str"/>
      <x:c r="B24" s="35" t="str">
        <x:v>Publish now</x:v>
      </x:c>
      <x:c r="C24" s="39" t="str">
        <x:v>MT / AMT</x:v>
      </x:c>
      <x:c r="D24" s="43" t="str">
        <x:v>MT results supporting new claim staking at Railroad Valley, Nevada</x:v>
      </x:c>
      <x:c r="E24" s="43" t="str">
        <x:v>Ameriwest Lithium Inc. news release</x:v>
      </x:c>
      <x:c r="F24" s="49" t="n">
        <x:v>44496.416666666664</x:v>
      </x:c>
      <x:c r="G24" s="43" t="str">
        <x:v>Results-based example with a clear business outcome.</x:v>
      </x:c>
      <x:c r="H24" s="55" t="str">
        <x:v>https://www.globenewswire.com/news-release/2021/10/27/2321802/0/en/Ameriwest-Lithium-Railroad-Valley-Geophysics-Results-in-Staking-of-Additional-Claims.html</x:v>
      </x:c>
    </x:row>
    <x:row r="25" ht="48" customHeight="1">
      <x:c r="A25" s="32" t="str"/>
      <x:c r="B25" s="36" t="str">
        <x:v>Publish now</x:v>
      </x:c>
      <x:c r="C25" s="40" t="str">
        <x:v>MT / AMT</x:v>
      </x:c>
      <x:c r="D25" s="45" t="str">
        <x:v>Zonge's role in the completed US Magnetotelluric Array</x:v>
      </x:c>
      <x:c r="E25" s="45" t="str">
        <x:v>EarthScope Consortium</x:v>
      </x:c>
      <x:c r="F25" s="50" t="n">
        <x:v>45468.416666666664</x:v>
      </x:c>
      <x:c r="G25" s="45" t="str">
        <x:v>Independent scientific source. Better fit on the MT page than the Mining page.</x:v>
      </x:c>
      <x:c r="H25" s="56" t="str">
        <x:v>https://www.earthscope.org/news/after-18-years-magnetotelluric-array-completes-survey-of-contiguous-us/</x:v>
      </x:c>
    </x:row>
    <x:row r="26" ht="48" customHeight="1">
      <x:c r="A26" s="57" t="str"/>
      <x:c r="B26" s="63" t="str">
        <x:v>Publish now</x:v>
      </x:c>
      <x:c r="C26" s="64" t="str">
        <x:v>TEM / NanoTEM</x:v>
      </x:c>
      <x:c r="D26" s="65" t="str">
        <x:v>NanoTEM survey results from the Blackhawk silver district, New Mexico</x:v>
      </x:c>
      <x:c r="E26" s="65" t="str">
        <x:v>Texas Mineral Resources Corp. news release</x:v>
      </x:c>
      <x:c r="F26" s="66" t="n">
        <x:v>44904.458333333336</x:v>
      </x:c>
      <x:c r="G26" s="65" t="str">
        <x:v>Useful method example supported by a dedicated results webinar.</x:v>
      </x:c>
      <x:c r="H26" s="67" t="str">
        <x:v>https://finance.yahoo.com/news/texas-mineral-resources-announces-webinar-181100665.html</x:v>
      </x:c>
    </x:row>
    <x:row r="27" ht="48" customHeight="1">
      <x:c r="A27" s="57" t="str"/>
      <x:c r="B27" s="58" t="str">
        <x:v>Publish now</x:v>
      </x:c>
      <x:c r="C27" s="59" t="str">
        <x:v>Geothermal</x:v>
      </x:c>
      <x:c r="D27" s="60" t="str">
        <x:v>Gravity survey at the Granite Mountain geothermal system, Nevada</x:v>
      </x:c>
      <x:c r="E27" s="60" t="str">
        <x:v>Adams, Faulds, Grellier &amp; Hermant — 51st Stanford Geothermal Workshop</x:v>
      </x:c>
      <x:c r="F27" s="61" t="n">
        <x:v>46054.458333333336</x:v>
      </x:c>
      <x:c r="G27" s="60" t="str">
        <x:v>Recent peer-reviewed workshop paper with clear Zonge attribution.</x:v>
      </x:c>
      <x:c r="H27" s="62" t="str">
        <x:v>https://pangea.stanford.edu/ERE/db/GeoConf/papers/SGW/2026/Adams.pdf</x:v>
      </x:c>
    </x:row>
    <x:row r="28" ht="48" customHeight="1">
      <x:c r="A28" s="32" t="str"/>
      <x:c r="B28" s="35" t="str">
        <x:v>Publish now</x:v>
      </x:c>
      <x:c r="C28" s="39" t="str">
        <x:v>Geothermal</x:v>
      </x:c>
      <x:c r="D28" s="43" t="str">
        <x:v>DOE SBIR award for airborne drone EM in geothermal exploration</x:v>
      </x:c>
      <x:c r="E28" s="43" t="str">
        <x:v>U.S. Department of Energy / SBIR.gov</x:v>
      </x:c>
      <x:c r="F28" s="49" t="n">
        <x:v>45495.416666666664</x:v>
      </x:c>
      <x:c r="G28" s="43" t="str">
        <x:v>Strong official agency source. Award year corrected to 2024.</x:v>
      </x:c>
      <x:c r="H28" s="55" t="str">
        <x:v>https://www.sbir.gov/awards/214334</x:v>
      </x:c>
    </x:row>
    <x:row r="29" ht="48" customHeight="1">
      <x:c r="A29" s="32" t="str"/>
      <x:c r="B29" s="36" t="str">
        <x:v>Publish now</x:v>
      </x:c>
      <x:c r="C29" s="40" t="str">
        <x:v>Geothermal</x:v>
      </x:c>
      <x:c r="D29" s="45" t="str">
        <x:v>Gravity survey at the Grover Point blind geothermal system, Nevada</x:v>
      </x:c>
      <x:c r="E29" s="45" t="str">
        <x:v>Folsom et al. — 49th Stanford Geothermal Workshop</x:v>
      </x:c>
      <x:c r="F29" s="50" t="n">
        <x:v>45335.458333333336</x:v>
      </x:c>
      <x:c r="G29" s="45" t="str">
        <x:v>Independent workshop paper with clear project scale and attribution.</x:v>
      </x:c>
      <x:c r="H29" s="56" t="str">
        <x:v>https://pangea.stanford.edu/ERE/db/GeoConf/papers/SGW/2024/Folsom.pdf</x:v>
      </x:c>
    </x:row>
    <x:row r="30" ht="48" customHeight="1">
      <x:c r="A30" s="57" t="str"/>
      <x:c r="B30" s="63" t="str">
        <x:v>Publish now</x:v>
      </x:c>
      <x:c r="C30" s="64" t="str">
        <x:v>About Zonge</x:v>
      </x:c>
      <x:c r="D30" s="65" t="str">
        <x:v>Interview: why reliable interpretation starts with field data</x:v>
      </x:c>
      <x:c r="E30" s="65" t="str">
        <x:v>Mexico Business News — interview by Fernando Mares</x:v>
      </x:c>
      <x:c r="F30" s="66" t="n">
        <x:v>45896.416666666664</x:v>
      </x:c>
      <x:c r="G30" s="65" t="str">
        <x:v>Good first-person expertise and the strongest long-form interview.</x:v>
      </x:c>
      <x:c r="H30" s="67" t="str">
        <x:v>https://mexicobusiness.news/mining/news/quality-data-begins-field-collection-zonge-international</x:v>
      </x:c>
    </x:row>
    <x:row r="31" ht="48" customHeight="1">
      <x:c r="A31" s="32" t="str"/>
      <x:c r="B31" s="36" t="str">
        <x:v>Publish now</x:v>
      </x:c>
      <x:c r="C31" s="40" t="str">
        <x:v>About Zonge</x:v>
      </x:c>
      <x:c r="D31" s="45" t="str">
        <x:v>SEG Distinguished Achievement Award: Zonge International (2022)</x:v>
      </x:c>
      <x:c r="E31" s="45" t="str">
        <x:v>Society of Exploration Geophysicists, The Leading Edge</x:v>
      </x:c>
      <x:c r="F31" s="50" t="n">
        <x:v>44774.416666666664</x:v>
      </x:c>
      <x:c r="G31" s="45" t="str">
        <x:v>The strongest company credential. Use the formal SEG citation rather than the duplicate Wiki listing.</x:v>
      </x:c>
      <x:c r="H31" s="56" t="str">
        <x:v>https://library.seg.org/doi/10.1190/tle41080558.1</x:v>
      </x:c>
    </x:row>
    <x:row r="32" ht="48" customHeight="1">
      <x:c r="A32" s="57" t="str"/>
      <x:c r="B32" s="63" t="str">
        <x:v>Publish now</x:v>
      </x:c>
      <x:c r="C32" s="64" t="str">
        <x:v>GDP-3224</x:v>
      </x:c>
      <x:c r="D32" s="65" t="str">
        <x:v>GDP-32II and SC2D in geothermal reservoir evaluation</x:v>
      </x:c>
      <x:c r="E32" s="65" t="str">
        <x:v>Lu et al. — Scientific Reports</x:v>
      </x:c>
      <x:c r="F32" s="66" t="n">
        <x:v>46023.458333333336</x:v>
      </x:c>
      <x:c r="G32" s="65" t="str">
        <x:v>Recent peer-reviewed application covering both hardware and Zonge software.</x:v>
      </x:c>
      <x:c r="H32" s="67" t="str">
        <x:v>https://www.nature.com/articles/s41598-026-50632-w</x:v>
      </x:c>
    </x:row>
    <x:row r="33" ht="48" customHeight="1">
      <x:c r="A33" s="32" t="str"/>
      <x:c r="B33" s="36" t="str">
        <x:v>Publish now</x:v>
      </x:c>
      <x:c r="C33" s="40" t="str">
        <x:v>GDP-3224</x:v>
      </x:c>
      <x:c r="D33" s="45" t="str">
        <x:v>GDP-3224 in landfill and contamination characterization</x:v>
      </x:c>
      <x:c r="E33" s="45" t="str">
        <x:v>Ibraheem et al. — Scientific Reports</x:v>
      </x:c>
      <x:c r="F33" s="50" t="n">
        <x:v>45627.458333333336</x:v>
      </x:c>
      <x:c r="G33" s="45" t="str">
        <x:v>Recent peer-reviewed paper that explicitly names the receiver.</x:v>
      </x:c>
      <x:c r="H33" s="56" t="str">
        <x:v>https://www.nature.com/articles/s41598-024-83848-9</x:v>
      </x:c>
    </x:row>
    <x:row r="34" ht="48" customHeight="1">
      <x:c r="A34" s="32" t="str"/>
      <x:c r="B34" s="35" t="str">
        <x:v>Publish now</x:v>
      </x:c>
      <x:c r="C34" s="39" t="str">
        <x:v>GDP-3224</x:v>
      </x:c>
      <x:c r="D34" s="43" t="str">
        <x:v>GDP-32II in CSAMT and dual-frequency IP exploration</x:v>
      </x:c>
      <x:c r="E34" s="43" t="str">
        <x:v>He et al. — Minerals 14(1), 27</x:v>
      </x:c>
      <x:c r="F34" s="49" t="n">
        <x:v>45292.458333333336</x:v>
      </x:c>
      <x:c r="G34" s="43" t="str">
        <x:v>Peer-reviewed application with receiver and transmitter details.</x:v>
      </x:c>
      <x:c r="H34" s="55" t="str">
        <x:v>https://www.mdpi.com/2075-163X/14/1/27</x:v>
      </x:c>
    </x:row>
    <x:row r="35" ht="48" customHeight="1">
      <x:c r="A35" s="32" t="str"/>
      <x:c r="B35" s="36" t="str">
        <x:v>Publish now</x:v>
      </x:c>
      <x:c r="C35" s="40" t="str">
        <x:v>GDP-3224</x:v>
      </x:c>
      <x:c r="D35" s="45" t="str">
        <x:v>GDP-3224 and ZT-30 in aquifer characterization</x:v>
      </x:c>
      <x:c r="E35" s="45" t="str">
        <x:v>Ammar et al. — Heliyon</x:v>
      </x:c>
      <x:c r="F35" s="50" t="n">
        <x:v>44317.416666666664</x:v>
      </x:c>
      <x:c r="G35" s="45" t="str">
        <x:v>Open-access paper showing a complete Zonge TEM acquisition chain.</x:v>
      </x:c>
      <x:c r="H35" s="56" t="str">
        <x:v>https://pmc.ncbi.nlm.nih.gov/articles/PMC8121975/</x:v>
      </x:c>
    </x:row>
    <x:row r="36" ht="48" customHeight="1">
      <x:c r="A36" s="57" t="str"/>
      <x:c r="B36" s="63" t="str">
        <x:v>Hold</x:v>
      </x:c>
      <x:c r="C36" s="64" t="str">
        <x:v>CSAMT</x:v>
      </x:c>
      <x:c r="D36" s="65" t="str">
        <x:v>20 line-km CSAMT program at Table Mountain, Nevada</x:v>
      </x:c>
      <x:c r="E36" s="65" t="str">
        <x:v>Toogood Gold Corp. news release</x:v>
      </x:c>
      <x:c r="F36" s="66" t="n">
        <x:v>46223.416666666664</x:v>
      </x:c>
      <x:c r="G36" s="65" t="str">
        <x:v>The release announces the engagement. Confirm the survey was completed before publishing.</x:v>
      </x:c>
      <x:c r="H36" s="67" t="str">
        <x:v>https://www.juniorminingnetwork.com/junior-miner-news/press-releases/3431-tsx-venture/tgc/207588-toogood-gold-expands-table-mountain-project-to-1-902-hectares-along-priority-structural-corridors.html</x:v>
      </x:c>
    </x:row>
    <x:row r="37" ht="48" customHeight="1">
      <x:c r="A37" s="57" t="str"/>
      <x:c r="B37" s="58" t="str">
        <x:v>Hold</x:v>
      </x:c>
      <x:c r="C37" s="59" t="str">
        <x:v>Future CSEM/SIP</x:v>
      </x:c>
      <x:c r="D37" s="60" t="str">
        <x:v>3D CSEM/SIP and broadband MT at Copper Springs, Arizona</x:v>
      </x:c>
      <x:c r="E37" s="60" t="str">
        <x:v>Coyote Copper Mines Inc. news release</x:v>
      </x:c>
      <x:c r="F37" s="61" t="n">
        <x:v>46154.416666666664</x:v>
      </x:c>
      <x:c r="G37" s="60" t="str">
        <x:v>Strong example, but it belongs on the proposed CSEM/SIP page rather than CSAMT.</x:v>
      </x:c>
      <x:c r="H37" s="62" t="str">
        <x:v>https://www.newsfilecorp.com/release/296914/Coyote-Copper-Mines-Inc.-Announces-Completion-of-Its-Initial-Geophysical-Interpretation-Revealing-a-Potential-LargeScale-Donut-Anomaly-Consistent-with-Major-Porphyry-Systems</x:v>
      </x:c>
    </x:row>
    <x:row r="38" ht="48" customHeight="1">
      <x:c r="A38" s="57" t="str"/>
      <x:c r="B38" s="63" t="str">
        <x:v>Hold</x:v>
      </x:c>
      <x:c r="C38" s="64" t="str">
        <x:v>Induced polarization</x:v>
      </x:c>
      <x:c r="D38" s="65" t="str">
        <x:v>IP, MT, inversion and interpretation at Thompson Knolls, Utah</x:v>
      </x:c>
      <x:c r="E38" s="65" t="str">
        <x:v>BCM Resources Corp. news release</x:v>
      </x:c>
      <x:c r="F38" s="66" t="n">
        <x:v>46253.416666666664</x:v>
      </x:c>
      <x:c r="G38" s="65" t="str">
        <x:v>The release says work was initiated. Confirm completion and permission to feature it.</x:v>
      </x:c>
      <x:c r="H38" s="67" t="str">
        <x:v>https://www.newsfilecorp.com/release/310392/Exploration-Accelerated-at-BCMs-100-Controlled-Thompson-Knolls-Project-Utah</x:v>
      </x:c>
    </x:row>
    <x:row r="39" ht="48" customHeight="1">
      <x:c r="A39" s="32" t="str"/>
      <x:c r="B39" s="36" t="str">
        <x:v>Hold</x:v>
      </x:c>
      <x:c r="C39" s="40" t="str">
        <x:v>Induced polarization</x:v>
      </x:c>
      <x:c r="D39" s="45" t="str">
        <x:v>IP and MT program at the Phoenix Silver project, Arizona</x:v>
      </x:c>
      <x:c r="E39" s="45" t="str">
        <x:v>Silver One Resources Inc. news release</x:v>
      </x:c>
      <x:c r="F39" s="50" t="n">
        <x:v>45922.416666666664</x:v>
      </x:c>
      <x:c r="G39" s="45" t="str">
        <x:v>Two entries announce the same program, but the workbook has no completion or results release.</x:v>
      </x:c>
      <x:c r="H39" s="56" t="str">
        <x:v>https://www.newsfilecorp.com/release/267325/Silver-One-Commences-Ground-Geophysical-Survey-at-Its-Phoenix-Silver-Project-and-Advances-Candelaria-PEA</x:v>
      </x:c>
    </x:row>
    <x:row r="40" ht="48" customHeight="1">
      <x:c r="A40" s="57" t="str"/>
      <x:c r="B40" s="63" t="str">
        <x:v>Hold</x:v>
      </x:c>
      <x:c r="C40" s="64" t="str">
        <x:v>Future TFEM/CSEM</x:v>
      </x:c>
      <x:c r="D40" s="65" t="str">
        <x:v>EM survey and modeled targets at Panuco, Mexico</x:v>
      </x:c>
      <x:c r="E40" s="65" t="str">
        <x:v>Vizsla Silver Corp. news release</x:v>
      </x:c>
      <x:c r="F40" s="66" t="n">
        <x:v>44341.416666666664</x:v>
      </x:c>
      <x:c r="G40" s="65" t="str">
        <x:v>Useful example, but the best method page is unclear. Hold for the proposed EM pages.</x:v>
      </x:c>
      <x:c r="H40" s="67" t="str">
        <x:v>https://www.newswire.ca/news-releases/vizsla-discovers-new-vein-with-em-geophysics-generates-new-targets-near-napoleon-at-panuco-859339954.html</x:v>
      </x:c>
    </x:row>
    <x:row r="41" ht="48" customHeight="1">
      <x:c r="A41" s="57" t="str"/>
      <x:c r="B41" s="58" t="str">
        <x:v>Hold</x:v>
      </x:c>
      <x:c r="C41" s="59" t="str">
        <x:v>Geothermal</x:v>
      </x:c>
      <x:c r="D41" s="60" t="str">
        <x:v>ZEN and ANT-4 field acquisition at San Emidio, Nevada</x:v>
      </x:c>
      <x:c r="E41" s="60" t="str">
        <x:v>Folsom et al. — 45th Stanford Geothermal Workshop</x:v>
      </x:c>
      <x:c r="F41" s="61" t="n">
        <x:v>43871.458333333336</x:v>
      </x:c>
      <x:c r="G41" s="60" t="str">
        <x:v>Good product evidence, but older and better suited to a second release after the current shortlist.</x:v>
      </x:c>
      <x:c r="H41" s="62" t="str">
        <x:v>https://pangea.stanford.edu/ERE/db/GeoConf/papers/SGW/2020/Folsom.pdf</x:v>
      </x:c>
    </x:row>
    <x:row r="43" ht="22" customHeight="1">
      <x:c r="A43" s="68" t="str">
        <x:v>This review sheet contains 28 proposed links and 6 items needing confirmation. The remaining 44 candidates and 21 parked links remain in the original research workbook.</x:v>
      </x:c>
      <x:c r="B43" s="68"/>
      <x:c r="C43" s="68"/>
      <x:c r="D43" s="68"/>
      <x:c r="E43" s="68"/>
      <x:c r="F43" s="68"/>
      <x:c r="G43" s="68"/>
      <x:c r="H43" s="68"/>
    </x:row>
  </x:sheetData>
  <x:conditionalFormatting sqref="A8:A41">
    <x:cfRule type="containsText" dxfId="0" priority="1" operator="containsText" text="Approve"/>
    <x:cfRule type="containsText" dxfId="1" priority="2" operator="containsText" text="Hold"/>
    <x:cfRule type="containsText" dxfId="2" priority="3" operator="containsText" text="Skip"/>
  </x:conditionalFormatting>
  <x:conditionalFormatting sqref="B8:B41">
    <x:cfRule type="containsText" dxfId="3" priority="4" operator="containsText" text="Publish now"/>
    <x:cfRule type="containsText" dxfId="4" priority="5" operator="containsText" text="Hold"/>
  </x:conditionalFormatting>
  <x:dataValidations count="1">
    <x:dataValidation type="list" sqref="A8:A41">
      <x:formula1>"Approve,Hold,Skip"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d70d321d634c7c"/>
  </x:tableParts>
</x:worksheet>
</file>